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F3C333-A0AB-4832-805B-7581CD6A69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wood Master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DRV3i8mHjsRsnIkkt9Rj2+CO5LgZ4Ad6SUpSt+Qp5FY="/>
    </ext>
  </extLst>
</workbook>
</file>

<file path=xl/calcChain.xml><?xml version="1.0" encoding="utf-8"?>
<calcChain xmlns="http://schemas.openxmlformats.org/spreadsheetml/2006/main">
  <c r="P18" i="1" l="1"/>
  <c r="P17" i="1"/>
  <c r="P16" i="1"/>
  <c r="P15" i="1"/>
  <c r="P14" i="1"/>
  <c r="P13" i="1"/>
  <c r="P12" i="1"/>
  <c r="P11" i="1"/>
  <c r="P10" i="1"/>
  <c r="H10" i="1"/>
  <c r="G10" i="1"/>
  <c r="P9" i="1"/>
  <c r="G9" i="1" s="1"/>
  <c r="H9" i="1"/>
  <c r="P8" i="1"/>
  <c r="G8" i="1" s="1"/>
  <c r="H8" i="1"/>
  <c r="P7" i="1"/>
  <c r="G7" i="1" s="1"/>
  <c r="H7" i="1"/>
</calcChain>
</file>

<file path=xl/sharedStrings.xml><?xml version="1.0" encoding="utf-8"?>
<sst xmlns="http://schemas.openxmlformats.org/spreadsheetml/2006/main" count="30" uniqueCount="28">
  <si>
    <r>
      <rPr>
        <b/>
        <sz val="11"/>
        <color theme="1"/>
        <rFont val="Calibri"/>
      </rPr>
      <t>Project Name</t>
    </r>
    <r>
      <rPr>
        <sz val="11"/>
        <color theme="1"/>
        <rFont val="Calibri"/>
      </rPr>
      <t xml:space="preserve"> : Donwood – Payment &amp; Website Upgrade</t>
    </r>
  </si>
  <si>
    <r>
      <rPr>
        <b/>
        <sz val="11"/>
        <color theme="1"/>
        <rFont val="Calibri"/>
      </rPr>
      <t>Project Start</t>
    </r>
    <r>
      <rPr>
        <sz val="11"/>
        <color theme="1"/>
        <rFont val="Calibri"/>
      </rPr>
      <t>: 12-Dec-25</t>
    </r>
  </si>
  <si>
    <r>
      <rPr>
        <b/>
        <sz val="11"/>
        <color theme="1"/>
        <rFont val="Calibri"/>
      </rPr>
      <t>End Date</t>
    </r>
    <r>
      <rPr>
        <sz val="11"/>
        <color theme="1"/>
        <rFont val="Calibri"/>
      </rPr>
      <t>: 22-Dec-25</t>
    </r>
  </si>
  <si>
    <r>
      <rPr>
        <b/>
        <sz val="11"/>
        <color theme="1"/>
        <rFont val="Calibri"/>
      </rPr>
      <t>Total Days and Hours</t>
    </r>
    <r>
      <rPr>
        <sz val="11"/>
        <color theme="1"/>
        <rFont val="Calibri"/>
      </rPr>
      <t>: 10 Days (50 Hours)</t>
    </r>
  </si>
  <si>
    <t>Friday</t>
  </si>
  <si>
    <t>Monday</t>
  </si>
  <si>
    <t>Task ID</t>
  </si>
  <si>
    <t>Task</t>
  </si>
  <si>
    <t>Project Lead</t>
  </si>
  <si>
    <t>Start Date</t>
  </si>
  <si>
    <t>End Date</t>
  </si>
  <si>
    <t>Total Hours</t>
  </si>
  <si>
    <t>Balance Hours</t>
  </si>
  <si>
    <t>Progress</t>
  </si>
  <si>
    <t>Payment Gateway Issues - Upgrading files to PHP version</t>
  </si>
  <si>
    <t>Sanil</t>
  </si>
  <si>
    <t>Changing the Code Payment Files from PHP Version 5.6 to 8.* to Use Modern Tokenization and Hosted Fields</t>
  </si>
  <si>
    <t>Sandbox Testing - To Check if the Payment is Going Through</t>
  </si>
  <si>
    <t>Upgrading the Helper Classes FxmCommWebParser.php and FxmCommWebMerchant.php to PHP 8.*</t>
  </si>
  <si>
    <t>Add Proper Error Logging</t>
  </si>
  <si>
    <t>Website Changes</t>
  </si>
  <si>
    <t>Add Phone Number (95425370)</t>
  </si>
  <si>
    <t>Issues Regarding Pre-Paid and previous year order</t>
  </si>
  <si>
    <t>Mobile Friendly Issue</t>
  </si>
  <si>
    <t>Cannot click on cart to view order</t>
  </si>
  <si>
    <t>Website doesn’t open on page to enter school code</t>
  </si>
  <si>
    <t>Ability to upload year 12 only - Need to Discuss with Client</t>
  </si>
  <si>
    <t>Ability to have a mail out system built into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</si>
</sst>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/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0" fontId="1" fillId="0" borderId="7" xfId="0" applyFont="1" applyBorder="1"/>
    <xf numFmtId="164" fontId="1" fillId="0" borderId="7" xfId="0" applyNumberFormat="1" applyFont="1" applyBorder="1"/>
    <xf numFmtId="4" fontId="1" fillId="6" borderId="7" xfId="0" applyNumberFormat="1" applyFont="1" applyFill="1" applyBorder="1"/>
    <xf numFmtId="9" fontId="1" fillId="0" borderId="0" xfId="0" applyNumberFormat="1" applyFont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7" xfId="0" applyNumberFormat="1" applyFont="1" applyBorder="1"/>
    <xf numFmtId="9" fontId="1" fillId="7" borderId="7" xfId="0" applyNumberFormat="1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K10" sqref="K10"/>
    </sheetView>
  </sheetViews>
  <sheetFormatPr defaultColWidth="14.42578125" defaultRowHeight="15" customHeight="1"/>
  <cols>
    <col min="1" max="1" width="7.42578125" customWidth="1"/>
    <col min="2" max="2" width="93" customWidth="1"/>
    <col min="3" max="3" width="13.140625" customWidth="1"/>
    <col min="4" max="5" width="12" customWidth="1"/>
    <col min="6" max="6" width="10.7109375" customWidth="1"/>
    <col min="7" max="7" width="13.28515625" customWidth="1"/>
    <col min="8" max="8" width="9.28515625" customWidth="1"/>
    <col min="9" max="9" width="11.7109375" customWidth="1"/>
    <col min="10" max="10" width="11.85546875" customWidth="1"/>
    <col min="11" max="11" width="11.7109375" customWidth="1"/>
    <col min="12" max="12" width="12.140625" customWidth="1"/>
    <col min="13" max="13" width="11.85546875" customWidth="1"/>
    <col min="14" max="14" width="11.7109375" customWidth="1"/>
    <col min="15" max="15" width="11.5703125" customWidth="1"/>
    <col min="16" max="27" width="8.7109375" customWidth="1"/>
  </cols>
  <sheetData>
    <row r="1" spans="1:27">
      <c r="A1" s="21" t="s">
        <v>0</v>
      </c>
      <c r="B1" s="22"/>
      <c r="C1" s="1"/>
      <c r="D1" s="1"/>
      <c r="E1" s="1"/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21" t="s">
        <v>1</v>
      </c>
      <c r="B2" s="22"/>
      <c r="C2" s="1"/>
      <c r="D2" s="1"/>
      <c r="E2" s="1"/>
      <c r="F2" s="2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21" t="s">
        <v>2</v>
      </c>
      <c r="B3" s="22"/>
      <c r="C3" s="1"/>
      <c r="D3" s="1"/>
      <c r="E3" s="1"/>
      <c r="F3" s="2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21" t="s">
        <v>3</v>
      </c>
      <c r="B4" s="22"/>
      <c r="C4" s="1"/>
      <c r="D4" s="1"/>
      <c r="E4" s="1"/>
      <c r="F4" s="2"/>
      <c r="G4" s="3"/>
      <c r="H4" s="3"/>
      <c r="I4" s="5" t="s">
        <v>4</v>
      </c>
      <c r="J4" s="5" t="s">
        <v>5</v>
      </c>
      <c r="K4" s="5" t="s">
        <v>4</v>
      </c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6" t="s">
        <v>6</v>
      </c>
      <c r="B5" s="7" t="s">
        <v>7</v>
      </c>
      <c r="C5" s="6" t="s">
        <v>8</v>
      </c>
      <c r="D5" s="6" t="s">
        <v>9</v>
      </c>
      <c r="E5" s="6" t="s">
        <v>10</v>
      </c>
      <c r="F5" s="7" t="s">
        <v>11</v>
      </c>
      <c r="G5" s="8" t="s">
        <v>12</v>
      </c>
      <c r="H5" s="9" t="s">
        <v>13</v>
      </c>
      <c r="I5" s="10">
        <v>46003</v>
      </c>
      <c r="J5" s="10">
        <v>46006</v>
      </c>
      <c r="K5" s="10">
        <v>46023</v>
      </c>
      <c r="L5" s="10"/>
      <c r="M5" s="10"/>
      <c r="N5" s="10"/>
      <c r="O5" s="1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11">
        <v>1</v>
      </c>
      <c r="B6" s="12" t="s">
        <v>14</v>
      </c>
      <c r="C6" s="13" t="s">
        <v>15</v>
      </c>
      <c r="D6" s="14">
        <v>46003</v>
      </c>
      <c r="E6" s="14">
        <v>46010</v>
      </c>
      <c r="F6" s="15">
        <v>35</v>
      </c>
      <c r="G6" s="15"/>
      <c r="H6" s="16"/>
      <c r="I6" s="17"/>
      <c r="J6" s="17"/>
      <c r="K6" s="17"/>
      <c r="L6" s="17"/>
      <c r="M6" s="17"/>
      <c r="N6" s="17"/>
      <c r="O6" s="17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17">
        <v>1.1000000000000001</v>
      </c>
      <c r="B7" s="13" t="s">
        <v>16</v>
      </c>
      <c r="C7" s="13"/>
      <c r="D7" s="13"/>
      <c r="E7" s="13"/>
      <c r="F7" s="18">
        <v>25</v>
      </c>
      <c r="G7" s="18">
        <f t="shared" ref="G7:G10" si="0">SUM(F7-P7)</f>
        <v>11</v>
      </c>
      <c r="H7" s="19">
        <f t="shared" ref="H7:H10" si="1">SUM(I7:O7) / F7</f>
        <v>0.56000000000000005</v>
      </c>
      <c r="I7" s="13">
        <v>3</v>
      </c>
      <c r="J7" s="13">
        <v>3</v>
      </c>
      <c r="K7" s="13">
        <v>8</v>
      </c>
      <c r="L7" s="13"/>
      <c r="M7" s="13"/>
      <c r="N7" s="13"/>
      <c r="O7" s="13"/>
      <c r="P7" s="4">
        <f t="shared" ref="P7:P18" si="2">SUM(I7:O7)</f>
        <v>14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17">
        <v>1.2</v>
      </c>
      <c r="B8" s="13" t="s">
        <v>17</v>
      </c>
      <c r="C8" s="13"/>
      <c r="D8" s="13"/>
      <c r="E8" s="13"/>
      <c r="F8" s="18">
        <v>2</v>
      </c>
      <c r="G8" s="18">
        <f t="shared" si="0"/>
        <v>0</v>
      </c>
      <c r="H8" s="20">
        <f t="shared" si="1"/>
        <v>1</v>
      </c>
      <c r="I8" s="13"/>
      <c r="J8" s="13"/>
      <c r="K8" s="13">
        <v>2</v>
      </c>
      <c r="L8" s="13"/>
      <c r="M8" s="13"/>
      <c r="N8" s="13"/>
      <c r="O8" s="13"/>
      <c r="P8" s="4">
        <f t="shared" si="2"/>
        <v>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17">
        <v>1.3</v>
      </c>
      <c r="B9" s="13" t="s">
        <v>18</v>
      </c>
      <c r="C9" s="13"/>
      <c r="D9" s="13"/>
      <c r="E9" s="13"/>
      <c r="F9" s="18">
        <v>5</v>
      </c>
      <c r="G9" s="18">
        <f t="shared" si="0"/>
        <v>1</v>
      </c>
      <c r="H9" s="20">
        <f t="shared" si="1"/>
        <v>0.8</v>
      </c>
      <c r="I9" s="13"/>
      <c r="J9" s="13"/>
      <c r="K9" s="13">
        <v>4</v>
      </c>
      <c r="L9" s="13"/>
      <c r="M9" s="13"/>
      <c r="N9" s="13"/>
      <c r="O9" s="13"/>
      <c r="P9" s="4">
        <f t="shared" si="2"/>
        <v>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17">
        <v>1.4</v>
      </c>
      <c r="B10" s="13" t="s">
        <v>19</v>
      </c>
      <c r="C10" s="13"/>
      <c r="D10" s="13"/>
      <c r="E10" s="13"/>
      <c r="F10" s="18">
        <v>3</v>
      </c>
      <c r="G10" s="18">
        <f t="shared" si="0"/>
        <v>3</v>
      </c>
      <c r="H10" s="20">
        <f t="shared" si="1"/>
        <v>0</v>
      </c>
      <c r="I10" s="13"/>
      <c r="J10" s="13"/>
      <c r="K10" s="13"/>
      <c r="L10" s="13"/>
      <c r="M10" s="13"/>
      <c r="N10" s="13"/>
      <c r="O10" s="13"/>
      <c r="P10" s="4">
        <f t="shared" si="2"/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1">
        <v>2</v>
      </c>
      <c r="B11" s="12" t="s">
        <v>20</v>
      </c>
      <c r="C11" s="13" t="s">
        <v>15</v>
      </c>
      <c r="D11" s="14">
        <v>46008</v>
      </c>
      <c r="E11" s="14">
        <v>46013</v>
      </c>
      <c r="F11" s="15">
        <v>15</v>
      </c>
      <c r="G11" s="15"/>
      <c r="H11" s="20">
        <v>0</v>
      </c>
      <c r="I11" s="17"/>
      <c r="J11" s="17"/>
      <c r="K11" s="17"/>
      <c r="L11" s="17"/>
      <c r="M11" s="17"/>
      <c r="N11" s="17"/>
      <c r="O11" s="17"/>
      <c r="P11" s="4">
        <f t="shared" si="2"/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17">
        <v>2.1</v>
      </c>
      <c r="B12" s="13" t="s">
        <v>21</v>
      </c>
      <c r="C12" s="13"/>
      <c r="D12" s="13"/>
      <c r="E12" s="13"/>
      <c r="F12" s="13"/>
      <c r="G12" s="13"/>
      <c r="H12" s="17"/>
      <c r="I12" s="13"/>
      <c r="J12" s="13"/>
      <c r="K12" s="13"/>
      <c r="L12" s="13"/>
      <c r="M12" s="13"/>
      <c r="N12" s="13"/>
      <c r="O12" s="13"/>
      <c r="P12" s="4">
        <f t="shared" si="2"/>
        <v>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17">
        <v>2.2000000000000002</v>
      </c>
      <c r="B13" s="13" t="s">
        <v>22</v>
      </c>
      <c r="C13" s="13"/>
      <c r="D13" s="13"/>
      <c r="E13" s="13"/>
      <c r="F13" s="13"/>
      <c r="G13" s="13"/>
      <c r="H13" s="17"/>
      <c r="I13" s="13"/>
      <c r="J13" s="13"/>
      <c r="K13" s="13"/>
      <c r="L13" s="13"/>
      <c r="M13" s="13"/>
      <c r="N13" s="13"/>
      <c r="O13" s="13"/>
      <c r="P13" s="4">
        <f t="shared" si="2"/>
        <v>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17">
        <v>2.2999999999999998</v>
      </c>
      <c r="B14" s="13" t="s">
        <v>23</v>
      </c>
      <c r="C14" s="13"/>
      <c r="D14" s="13"/>
      <c r="E14" s="13"/>
      <c r="F14" s="13"/>
      <c r="G14" s="13"/>
      <c r="H14" s="17"/>
      <c r="I14" s="13"/>
      <c r="J14" s="13"/>
      <c r="K14" s="13"/>
      <c r="L14" s="13"/>
      <c r="M14" s="13"/>
      <c r="N14" s="13"/>
      <c r="O14" s="13"/>
      <c r="P14" s="4">
        <f t="shared" si="2"/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17">
        <v>2.4</v>
      </c>
      <c r="B15" s="13" t="s">
        <v>24</v>
      </c>
      <c r="C15" s="13"/>
      <c r="D15" s="13"/>
      <c r="E15" s="13"/>
      <c r="F15" s="13"/>
      <c r="G15" s="13"/>
      <c r="H15" s="17"/>
      <c r="I15" s="13"/>
      <c r="J15" s="13"/>
      <c r="K15" s="13"/>
      <c r="L15" s="13"/>
      <c r="M15" s="13"/>
      <c r="N15" s="13"/>
      <c r="O15" s="13"/>
      <c r="P15" s="4">
        <f t="shared" si="2"/>
        <v>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17">
        <v>2.5</v>
      </c>
      <c r="B16" s="13" t="s">
        <v>25</v>
      </c>
      <c r="C16" s="13"/>
      <c r="D16" s="13"/>
      <c r="E16" s="13"/>
      <c r="F16" s="13"/>
      <c r="G16" s="13"/>
      <c r="H16" s="17"/>
      <c r="I16" s="13"/>
      <c r="J16" s="13"/>
      <c r="K16" s="13"/>
      <c r="L16" s="13"/>
      <c r="M16" s="13"/>
      <c r="N16" s="13"/>
      <c r="O16" s="13"/>
      <c r="P16" s="4">
        <f t="shared" si="2"/>
        <v>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>
      <c r="A17" s="17">
        <v>2.6</v>
      </c>
      <c r="B17" s="13" t="s">
        <v>26</v>
      </c>
      <c r="C17" s="13"/>
      <c r="D17" s="13"/>
      <c r="E17" s="13"/>
      <c r="F17" s="13"/>
      <c r="G17" s="13"/>
      <c r="H17" s="17"/>
      <c r="I17" s="13"/>
      <c r="J17" s="13"/>
      <c r="K17" s="13"/>
      <c r="L17" s="13"/>
      <c r="M17" s="13"/>
      <c r="N17" s="13"/>
      <c r="O17" s="13"/>
      <c r="P17" s="4">
        <f t="shared" si="2"/>
        <v>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>
      <c r="A18" s="17">
        <v>2.7</v>
      </c>
      <c r="B18" s="13" t="s">
        <v>27</v>
      </c>
      <c r="C18" s="13"/>
      <c r="D18" s="13"/>
      <c r="E18" s="13"/>
      <c r="F18" s="13"/>
      <c r="G18" s="13"/>
      <c r="H18" s="17"/>
      <c r="I18" s="13"/>
      <c r="J18" s="13"/>
      <c r="K18" s="13"/>
      <c r="L18" s="13"/>
      <c r="M18" s="13"/>
      <c r="N18" s="13"/>
      <c r="O18" s="13"/>
      <c r="P18" s="4">
        <f t="shared" si="2"/>
        <v>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4">
    <mergeCell ref="A1:B1"/>
    <mergeCell ref="A2:B2"/>
    <mergeCell ref="A3:B3"/>
    <mergeCell ref="A4:B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Donwood Master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Web Dev</cp:lastModifiedBy>
  <dcterms:created xsi:type="dcterms:W3CDTF">2025-12-12T01:04:24Z</dcterms:created>
  <dcterms:modified xsi:type="dcterms:W3CDTF">2026-01-05T00:41:11Z</dcterms:modified>
</cp:coreProperties>
</file>